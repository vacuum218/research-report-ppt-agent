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2548" tabRatio="500" firstSheet="1" activeTab="2"/>
  </bookViews>
  <sheets>
    <sheet name="项目概览" sheetId="1" r:id="rId1"/>
    <sheet name="系统架构设计" sheetId="2" r:id="rId2"/>
    <sheet name="任务跟踪表" sheetId="3" r:id="rId3"/>
    <sheet name="验收标准" sheetId="4" r:id="rId4"/>
    <sheet name="风险与问题跟踪" sheetId="5" r:id="rId5"/>
    <sheet name="测试数据集清单" sheetId="6" r:id="rId6"/>
  </sheets>
  <definedNames>
    <definedName name="_xlnm._FilterDatabase" localSheetId="2" hidden="1">任务跟踪表!$A$1:$O$28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<sst xmlns="http://schemas.openxmlformats.org/spreadsheetml/2006/main" count="488" uniqueCount="312">
  <si>
    <t>研报文本自动生成PPT项目 — 本科生实习项目计划</t>
  </si>
  <si>
    <t>项目名称</t>
  </si>
  <si>
    <t>研报文本 → 可视化PowerPoint 自动生成系统</t>
  </si>
  <si>
    <t>项目目标</t>
  </si>
  <si>
    <t>输入：一家上市公司研报的纯文本（可能含markdown格式）。输出：一份结构清晰、风格统一的PowerPoint文件，除保留研报原有信息外，对文本中可被可视化的数值信息（如营收/利润趋势、增长率、估值对比等）自动定位并调用可视化工具生成图表或表格嵌入对应幻灯片。</t>
  </si>
  <si>
    <t>参考项目</t>
  </si>
  <si>
    <t>MemSlides（https://github.com/huohua325/Memslides）：分层记忆驱动的个性化PPT生成Agent框架，输入为论文PDF，通过 generate / revise / template-induct 三段式流程生成用户风格感知的slides。可复用其 template induction（模板归纳）与 python-pptx 渲染思路。</t>
  </si>
  <si>
    <t>与MemSlides的关键差异（重点）</t>
  </si>
  <si>
    <t>① 风格：本项目不做用户个性化风格记忆，只需支持一套给定的固定模板/风格，可大幅简化MemSlides的分层记忆(用户画像记忆)设计。
② 输入内容：本项目的研报是纯文本叙述，不含现成图片/图表/表格，需要新增“可视化内容定位”能力——从文本中识别可被图表化的数值信息，抽取结构化数据，再调用可视化工具生成图片/表格后嵌入。这是MemSlides没有的模块。</t>
  </si>
  <si>
    <t>团队人员</t>
  </si>
  <si>
    <t>2名本科生实习生（记为 学生A、学生B），可结对讨论、共同解决问题；模块所有权按方向划分，每周集成同步</t>
  </si>
  <si>
    <t>学生A 主要方向</t>
  </si>
  <si>
    <t>文本解析与内容理解：markdown/文本解析、幻灯片大纲生成、可视化内容定位与结构化数据抽取</t>
  </si>
  <si>
    <t>学生B 主要方向</t>
  </si>
  <si>
    <t>可视化与排版：图表/表格渲染、固定模板与版式引擎、PPT组装与样式统一</t>
  </si>
  <si>
    <t>项目周期</t>
  </si>
  <si>
    <t>核心任务按4周详细排期（见“任务跟踪表”）；总时长不超过8周——若个别任务在第4周末仍未完成，直接在任务跟踪表中把该行“计划周次”改为5/6/7/8继续跟踪即可，第5-8周不预先安排具体任务，按需顺延</t>
  </si>
  <si>
    <t>项目启动日期（可修改）</t>
  </si>
  <si>
    <t>2026-07-06</t>
  </si>
  <si>
    <t>技术栈建议</t>
  </si>
  <si>
    <t>Python、python-pptx、matplotlib/plotly（图表渲染）、pandas（结构化数据）、Claude/LLM API（大纲生成与信息抽取）、pytest（测试）、Git（版本管理）</t>
  </si>
  <si>
    <t>协作方式</t>
  </si>
  <si>
    <t>每周1次导师同步会；学生每日/隔日异步同步进度；每周五更新本Excel“任务跟踪表”状态；遇阻塞问题先结对讨论30分钟，无法解决再上报导师</t>
  </si>
  <si>
    <t>最终交付物</t>
  </si>
  <si>
    <t>1) 端到端代码仓库（含README与环境搭建说明） 2) 支持固定模板的研报文本→PPT生成pipeline 3) 测试报告（抽取准确率、生成成功率等） 4) 项目总结文档 5) 结项汇报PPT</t>
  </si>
  <si>
    <t>第1周（18h）：环境搭建、MemSlides调研、样例数据与模板准备</t>
  </si>
  <si>
    <t>第2周（27h）：文本解析、大纲生成、基础排版引擎、首个端到端小demo</t>
  </si>
  <si>
    <t>第3周（31h）：数值定位抽取、图表/表格渲染、首次全流程打通</t>
  </si>
  <si>
    <t>第4周（30h）：排版打磨、全量测试、精简单元测试+评估报告、文档与结项汇报</t>
  </si>
  <si>
    <t>阶段</t>
  </si>
  <si>
    <t>模块</t>
  </si>
  <si>
    <t>输入</t>
  </si>
  <si>
    <t>输出</t>
  </si>
  <si>
    <t>关键技术/工具</t>
  </si>
  <si>
    <t>与MemSlides的对应/差异</t>
  </si>
  <si>
    <t>1</t>
  </si>
  <si>
    <t>文本/Markdown解析</t>
  </si>
  <si>
    <t>研报纯文本(含markdown)</t>
  </si>
  <si>
    <t>结构化文档树(标题层级/段落/列表/已有表格)</t>
  </si>
  <si>
    <t>正则+markdown解析库(如mistune/python-markdown)</t>
  </si>
  <si>
    <t>MemSlides处理PDF论文结构；本项目处理纯文本/markdown结构，更轻量</t>
  </si>
  <si>
    <t>2</t>
  </si>
  <si>
    <t>幻灯片大纲生成</t>
  </si>
  <si>
    <t>结构化文档树</t>
  </si>
  <si>
    <t>大纲JSON(章节-&gt;幻灯片标题+要点+原文引用)</t>
  </si>
  <si>
    <t>LLM(Claude) few-shot 摘要与切分</t>
  </si>
  <si>
    <t>对应MemSlides的内容规划阶段，但不含用户画像个性化</t>
  </si>
  <si>
    <t>3</t>
  </si>
  <si>
    <t>可视化内容定位与抽取</t>
  </si>
  <si>
    <t>文档正文段落</t>
  </si>
  <si>
    <t>结构化数据JSON{图表类型,标题,单位,分类,数值,来源片段}</t>
  </si>
  <si>
    <t>关键词/正则初筛 + LLM结构化抽取 + 数值核对</t>
  </si>
  <si>
    <t>MemSlides输入本身含图表，无需此模块；这是本项目新增的核心模块</t>
  </si>
  <si>
    <t>4</t>
  </si>
  <si>
    <t>可视化渲染</t>
  </si>
  <si>
    <t>结构化数据JSON</t>
  </si>
  <si>
    <t>图表图片(bar/line/pie)或PPT原生表格</t>
  </si>
  <si>
    <t>matplotlib/plotly、python-pptx表格API</t>
  </si>
  <si>
    <t>新增模块，风格需与固定模板配色统一</t>
  </si>
  <si>
    <t>5</t>
  </si>
  <si>
    <t>模板与版式引擎</t>
  </si>
  <si>
    <t>固定PPT模板 + 内容类型(文字/图表/表格/混排)</t>
  </si>
  <si>
    <t>版式选择结果(layout映射)</t>
  </si>
  <si>
    <t>python-pptx读取母版占位符；参考MemSlides template induct思路简化为“固定模板”版本</t>
  </si>
  <si>
    <t>MemSlides做用户风格个性化归纳；本项目只需归纳1套固定模板的可复用版式</t>
  </si>
  <si>
    <t>6</t>
  </si>
  <si>
    <t>PPT组装</t>
  </si>
  <si>
    <t>大纲JSON + 图表/表格 + 版式映射</t>
  </si>
  <si>
    <t>完整.pptx文件</t>
  </si>
  <si>
    <t>python-pptx</t>
  </si>
  <si>
    <t>对应MemSlides最终渲染输出环节</t>
  </si>
  <si>
    <t>7(可选/进阶)</t>
  </si>
  <si>
    <t>局部修订</t>
  </si>
  <si>
    <t>用户对某页的修改反馈</t>
  </si>
  <si>
    <t>仅重新生成受影响的幻灯片</t>
  </si>
  <si>
    <t>借鉴MemSlides的scoped local revision思路</t>
  </si>
  <si>
    <t>MemSlides核心创新点之一，本项目作为进阶/加分项，非必须</t>
  </si>
  <si>
    <t>任务ID</t>
  </si>
  <si>
    <t>计划周次</t>
  </si>
  <si>
    <t>任务描述</t>
  </si>
  <si>
    <t>负责人</t>
  </si>
  <si>
    <t>协作人</t>
  </si>
  <si>
    <t>优先级</t>
  </si>
  <si>
    <t>预计工时(h)</t>
  </si>
  <si>
    <t>前置任务</t>
  </si>
  <si>
    <t>交付物/验收标准(DoD)</t>
  </si>
  <si>
    <t>状态</t>
  </si>
  <si>
    <t>计划开始日期</t>
  </si>
  <si>
    <t>计划完成日期</t>
  </si>
  <si>
    <t>实际完成日期</t>
  </si>
  <si>
    <t>备注</t>
  </si>
  <si>
    <t>T1.1</t>
  </si>
  <si>
    <t>前期准备/调研</t>
  </si>
  <si>
    <r>
      <rPr>
        <sz val="10"/>
        <rFont val="宋体"/>
        <charset val="134"/>
      </rPr>
      <t>阅读</t>
    </r>
    <r>
      <rPr>
        <sz val="10"/>
        <rFont val="Noto Sans CJK SC"/>
        <charset val="134"/>
      </rPr>
      <t>MemSlides</t>
    </r>
    <r>
      <rPr>
        <sz val="10"/>
        <rFont val="宋体"/>
        <charset val="134"/>
      </rPr>
      <t>论文与代码仓库，梳理</t>
    </r>
    <r>
      <rPr>
        <sz val="10"/>
        <rFont val="Noto Sans CJK SC"/>
        <charset val="134"/>
      </rPr>
      <t>generate/revise/template-induct</t>
    </r>
    <r>
      <rPr>
        <sz val="10"/>
        <rFont val="宋体"/>
        <charset val="134"/>
      </rPr>
      <t>三段式流程与分层记忆设计，产出调研笔记</t>
    </r>
  </si>
  <si>
    <t>共同</t>
  </si>
  <si>
    <t>P1</t>
  </si>
  <si>
    <r>
      <rPr>
        <sz val="10"/>
        <rFont val="宋体"/>
        <charset val="134"/>
      </rPr>
      <t>产出调研笔记文档，团队能讲清</t>
    </r>
    <r>
      <rPr>
        <sz val="10"/>
        <rFont val="Noto Sans CJK SC"/>
        <charset val="134"/>
      </rPr>
      <t>MemSlides</t>
    </r>
    <r>
      <rPr>
        <sz val="10"/>
        <rFont val="宋体"/>
        <charset val="134"/>
      </rPr>
      <t>架构与本项目差异</t>
    </r>
  </si>
  <si>
    <t>已完成</t>
  </si>
  <si>
    <t>T1.2</t>
  </si>
  <si>
    <t>搭建开发环境：Python/python-pptx/matplotlib/pandas/LLM API配置，跑通MemSlides smoke_minimal示例</t>
  </si>
  <si>
    <t>P0</t>
  </si>
  <si>
    <t>环境搭建成功，smoke test通过截图/日志</t>
  </si>
  <si>
    <t>T1.3</t>
  </si>
  <si>
    <t>收集5-8份样例研报文本(含markdown)，覆盖不同行业，整理为测试数据集目录</t>
  </si>
  <si>
    <t>学生A</t>
  </si>
  <si>
    <t>学生B</t>
  </si>
  <si>
    <t>测试数据集v0入库，含来源说明</t>
  </si>
  <si>
    <t>T1.4</t>
  </si>
  <si>
    <r>
      <t>设计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收集</t>
    </r>
    <r>
      <rPr>
        <sz val="10"/>
        <rFont val="Noto Sans CJK SC"/>
        <charset val="134"/>
      </rPr>
      <t>1-2</t>
    </r>
    <r>
      <rPr>
        <sz val="10"/>
        <rFont val="宋体"/>
        <charset val="134"/>
      </rPr>
      <t>套固定</t>
    </r>
    <r>
      <rPr>
        <sz val="10"/>
        <rFont val="Noto Sans CJK SC"/>
        <charset val="134"/>
      </rPr>
      <t>PPT</t>
    </r>
    <r>
      <rPr>
        <sz val="10"/>
        <rFont val="宋体"/>
        <charset val="134"/>
      </rPr>
      <t>模板风格</t>
    </r>
    <r>
      <rPr>
        <sz val="10"/>
        <rFont val="Noto Sans CJK SC"/>
        <charset val="134"/>
      </rPr>
      <t>(</t>
    </r>
    <r>
      <rPr>
        <sz val="10"/>
        <rFont val="宋体"/>
        <charset val="134"/>
      </rPr>
      <t>母版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配色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字体</t>
    </r>
    <r>
      <rPr>
        <sz val="10"/>
        <rFont val="Noto Sans CJK SC"/>
        <charset val="134"/>
      </rPr>
      <t>/</t>
    </r>
    <r>
      <rPr>
        <sz val="10"/>
        <rFont val="宋体"/>
        <charset val="134"/>
      </rPr>
      <t>占位符</t>
    </r>
    <r>
      <rPr>
        <sz val="10"/>
        <rFont val="Noto Sans CJK SC"/>
        <charset val="134"/>
      </rPr>
      <t>)</t>
    </r>
    <r>
      <rPr>
        <sz val="10"/>
        <rFont val="宋体"/>
        <charset val="134"/>
      </rPr>
      <t>，用</t>
    </r>
    <r>
      <rPr>
        <sz val="10"/>
        <rFont val="Noto Sans CJK SC"/>
        <charset val="134"/>
      </rPr>
      <t>python-pptx</t>
    </r>
    <r>
      <rPr>
        <sz val="10"/>
        <rFont val="宋体"/>
        <charset val="134"/>
      </rPr>
      <t>读取模板结构</t>
    </r>
  </si>
  <si>
    <t>模板文件+占位符结构说明文档</t>
  </si>
  <si>
    <t>T1.5</t>
  </si>
  <si>
    <t>与导师确认验收标准(rubric)和Demo形式，整理项目章程</t>
  </si>
  <si>
    <t>项目章程文档定稿，导师确认</t>
  </si>
  <si>
    <t>未开始</t>
  </si>
  <si>
    <t>T2.1</t>
  </si>
  <si>
    <t>内容结构化</t>
  </si>
  <si>
    <t>设计“大纲JSON”schema（幻灯片标题/要点/原文引用等字段）</t>
  </si>
  <si>
    <t>schema文档定稿并评审通过</t>
  </si>
  <si>
    <t>T2.2</t>
  </si>
  <si>
    <t>实现markdown/纯文本解析器：识别标题层级/段落/列表/已有markdown表格</t>
  </si>
  <si>
    <t>解析器单测通过，覆盖3种以上格式样例</t>
  </si>
  <si>
    <t>T2.3</t>
  </si>
  <si>
    <t>用LLM few-shot将解析结果切分为幻灯片大纲(公司概况/核心逻辑/财务预测/估值与风险等)，输出结构化JSON</t>
  </si>
  <si>
    <t>1份样例研报生成的大纲JSON人工评审通过</t>
  </si>
  <si>
    <t>T2.4</t>
  </si>
  <si>
    <t>排版引擎</t>
  </si>
  <si>
    <t>实现“大纲JSON→纯文本PPT”最小可行渲染器(标题页+要点页)</t>
  </si>
  <si>
    <t>可将大纲JSON渲染为基础PPT，无崩溃</t>
  </si>
  <si>
    <t>T2.5</t>
  </si>
  <si>
    <t>研究MemSlides template induct思路，设计本项目“固定模板+可复用版式映射表”</t>
  </si>
  <si>
    <t>版式映射表文档，覆盖至少4种页面类型</t>
  </si>
  <si>
    <t>T2.6</t>
  </si>
  <si>
    <t>全流程集成</t>
  </si>
  <si>
    <t>打通端到端最小链路：1份样例研报→大纲JSON→纯文本PPT，联调</t>
  </si>
  <si>
    <t>T2.3,T2.4</t>
  </si>
  <si>
    <t>端到端最小demo跑通并演示</t>
  </si>
  <si>
    <t>T3.1</t>
  </si>
  <si>
    <t>可视化定位与抽取</t>
  </si>
  <si>
    <t>设计可视化候选内容判定规则：关键词(同比/环比/增长率/毛利率/CAGR等)+数字正则初筛</t>
  </si>
  <si>
    <t>规则文档+初筛脚本，在样例上召回率初评</t>
  </si>
  <si>
    <t>T3.2</t>
  </si>
  <si>
    <t>设计结构化提取schema{类型,标题,单位,分类轴,系列数据,来源片段}，用LLM做结构化抽取</t>
  </si>
  <si>
    <t>抽取脚本可输出符合schema的JSON</t>
  </si>
  <si>
    <t>T3.3</t>
  </si>
  <si>
    <t>人工标注20-30段测试文本的可视化点作为评估集，计算抽取准确率/召回率</t>
  </si>
  <si>
    <t>评估报告(准确率/召回率数值)</t>
  </si>
  <si>
    <t>T3.4</t>
  </si>
  <si>
    <t>实现图表渲染模块：结构化数据→bar/line/pie图片，配色与模板统一</t>
  </si>
  <si>
    <t>图表渲染函数，3种图表类型样例图</t>
  </si>
  <si>
    <t>T3.5</t>
  </si>
  <si>
    <t>实现表格渲染模块：结构化数据→python-pptx原生表格，样式统一</t>
  </si>
  <si>
    <t>表格渲染函数，样例表格截图</t>
  </si>
  <si>
    <t>T3.6</t>
  </si>
  <si>
    <t>联调：抽取结果→图表/表格生成，跑通2-3个研报片段，人工核对数值准确性</t>
  </si>
  <si>
    <t>T3.3,T3.4,T3.5</t>
  </si>
  <si>
    <t>图表数值与原文核对无误</t>
  </si>
  <si>
    <t>T3.7</t>
  </si>
  <si>
    <t>合并结构化/抽取/可视化模块为单一Pipeline，定义模块间接口(函数/CLI)</t>
  </si>
  <si>
    <t>单命令跑通完整pipeline(首次全量打通)</t>
  </si>
  <si>
    <t>T4.1</t>
  </si>
  <si>
    <t>版式规则：根据内容类型自动选layout，处理文字溢出/图片过大问题</t>
  </si>
  <si>
    <t>5份样例研报生成PPT无明显溢出/遮挡</t>
  </si>
  <si>
    <t>T4.2</t>
  </si>
  <si>
    <t>补充非数值章节(投资建议/风险提示等)排版为要点页/结论页</t>
  </si>
  <si>
    <t>非数值章节均有对应幻灯片</t>
  </si>
  <si>
    <t>T4.3</t>
  </si>
  <si>
    <t>测试与评估</t>
  </si>
  <si>
    <t>在全部样例研报上跑通端到端生成，记录并清理问题清单(bug/badcase)；向导师展示v1.0收集反馈</t>
  </si>
  <si>
    <t>T4.1,T4.2</t>
  </si>
  <si>
    <t>问题清单中P0/P1项全部关闭，导师确认可交付</t>
  </si>
  <si>
    <t>T4.4</t>
  </si>
  <si>
    <t>编写关键模块最小单元测试(pytest：解析器/抽取器/渲染器各1-2个用例)</t>
  </si>
  <si>
    <t>核心模块有单测，可一键运行</t>
  </si>
  <si>
    <t>T4.5</t>
  </si>
  <si>
    <t>量化评估：数值准确性/版式合规率/生成成功率，汇总为评估表</t>
  </si>
  <si>
    <t>评估报告含以上三项量化指标</t>
  </si>
  <si>
    <t>T4.6</t>
  </si>
  <si>
    <t>文档与交付</t>
  </si>
  <si>
    <t>代码整理、注释、README、环境搭建文档</t>
  </si>
  <si>
    <t>README可让新人独立跑通pipeline</t>
  </si>
  <si>
    <t>T4.7</t>
  </si>
  <si>
    <t>撰写项目总结报告(架构/方法/评估结果/与MemSlides对比/局限与未来工作)</t>
  </si>
  <si>
    <t>总结报告定稿</t>
  </si>
  <si>
    <t>T4.8</t>
  </si>
  <si>
    <t>制作结项汇报PPT并向导师/团队展示(可尝试用自研工具生成)</t>
  </si>
  <si>
    <t>T4.6,T4.7</t>
  </si>
  <si>
    <t>汇报完成，获得导师验收签字</t>
  </si>
  <si>
    <t>T4.9</t>
  </si>
  <si>
    <t>项目管理</t>
  </si>
  <si>
    <t>代码/文档最终整理归档，更新Excel任务表至100%完成</t>
  </si>
  <si>
    <t>任务跟踪表所有任务状态为“已完成”</t>
  </si>
  <si>
    <t>可选/加分任务（不计入4周主线关键路径，进度超前或结项后可挑战）</t>
  </si>
  <si>
    <t>OPT1</t>
  </si>
  <si>
    <t>可视化定位与抽取(加强)</t>
  </si>
  <si>
    <t>优化图表类型选择启发式规则(时间序列→折线/占比→饼图/对比→柱状图)</t>
  </si>
  <si>
    <t>P3</t>
  </si>
  <si>
    <t>图表类型选择准确率有量化提升</t>
  </si>
  <si>
    <t>OPT2</t>
  </si>
  <si>
    <t>可视化渲染(加强)</t>
  </si>
  <si>
    <t>增加可视化类型：同比/环比双轴图、图表+表格混合页</t>
  </si>
  <si>
    <t>新增至少2种可视化样式并入库</t>
  </si>
  <si>
    <t>OPT3</t>
  </si>
  <si>
    <t>进阶(可选)</t>
  </si>
  <si>
    <t>参考MemSlides局部修订思路，实现“指定幻灯片局部重新生成”最小功能</t>
  </si>
  <si>
    <t>OPT1,OPT2</t>
  </si>
  <si>
    <t>可对单页内容发起局部重生成且不影响其他页</t>
  </si>
  <si>
    <t>汇总(4周主线)：</t>
  </si>
  <si>
    <t>已完成任务数 / 总任务数</t>
  </si>
  <si>
    <t>总预计工时(h，主线)</t>
  </si>
  <si>
    <t>维度</t>
  </si>
  <si>
    <t>描述</t>
  </si>
  <si>
    <t>合格标准</t>
  </si>
  <si>
    <t>优秀标准</t>
  </si>
  <si>
    <t>功能完整性</t>
  </si>
  <si>
    <t>输入任意研报文本能生成完整PPT</t>
  </si>
  <si>
    <t>对全部样例研报生成不崩溃，输出.pptx可正常打开</t>
  </si>
  <si>
    <t>支持markdown表格/多级标题等多样格式的鲁棒解析</t>
  </si>
  <si>
    <t>可视化定位准确率</t>
  </si>
  <si>
    <t>数值信息识别为图表/表格候选的准确率与召回率</t>
  </si>
  <si>
    <t>标注评估集上准确率与召回率均≥70%</t>
  </si>
  <si>
    <t>准确率与召回率均≥85%，且图表类型选择合理</t>
  </si>
  <si>
    <t>数值准确性</t>
  </si>
  <si>
    <t>图表/表格中的数值与原文一致，无幻觉</t>
  </si>
  <si>
    <t>抽样核对无数值错误率超过5%</t>
  </si>
  <si>
    <t>抽样核对数值零错误</t>
  </si>
  <si>
    <t>版式质量</t>
  </si>
  <si>
    <t>幻灯片无文字溢出/图片遮挡/风格不统一</t>
  </si>
  <si>
    <t>≥90%幻灯片版式正常</t>
  </si>
  <si>
    <t>100%幻灯片版式正常，视觉统一美观</t>
  </si>
  <si>
    <t>风格一致性</t>
  </si>
  <si>
    <t>全篇PPT使用统一的固定模板风格</t>
  </si>
  <si>
    <t>所有幻灯片使用同一模板/配色/字体</t>
  </si>
  <si>
    <t>模板可配置切换，且切换后依然保持一致性</t>
  </si>
  <si>
    <t>工程质量</t>
  </si>
  <si>
    <t>代码可维护、可复现</t>
  </si>
  <si>
    <t>有README，环境可一键搭建，关键模块有单测</t>
  </si>
  <si>
    <t>有CI自动化测试，模块化清晰，具备可扩展性(如支持局部修订)</t>
  </si>
  <si>
    <t>交付完整性</t>
  </si>
  <si>
    <t>文档与Demo齐全</t>
  </si>
  <si>
    <t>总结报告+代码仓库+Demo PPT</t>
  </si>
  <si>
    <t>含评估报告与未来工作展望，团队可清晰讲解架构</t>
  </si>
  <si>
    <t>编号</t>
  </si>
  <si>
    <t>类别</t>
  </si>
  <si>
    <t>影响</t>
  </si>
  <si>
    <t>可能性</t>
  </si>
  <si>
    <t>应对措施</t>
  </si>
  <si>
    <t>更新日期</t>
  </si>
  <si>
    <t>R1</t>
  </si>
  <si>
    <t>技术风险</t>
  </si>
  <si>
    <t>LLM数值抽取产生“幻觉”，图表数值与原文不符</t>
  </si>
  <si>
    <t>生成结果不可信，需人工核对成本高</t>
  </si>
  <si>
    <t>中</t>
  </si>
  <si>
    <t>抽取后强制与原文正则/字符串核对；不一致则标记待人工确认</t>
  </si>
  <si>
    <t>R2</t>
  </si>
  <si>
    <t>PPT自动排版导致文字溢出或图片遮挡</t>
  </si>
  <si>
    <t>输出视觉质量差，影响验收</t>
  </si>
  <si>
    <t>预留自动缩放/截断规则，设计多套版式模板兜底</t>
  </si>
  <si>
    <t>R3</t>
  </si>
  <si>
    <t>进度风险</t>
  </si>
  <si>
    <t>本科生每周可投入时间有限，4周任务量偏紧(平均约25-30h/周，两人合计)</t>
  </si>
  <si>
    <t>4周内无法完成核心流程</t>
  </si>
  <si>
    <t>每周五对照“任务跟踪表”校准进度；单项任务延期就地把“计划周次”改为5+顺延，不重排其余任务，最长不超过8周</t>
  </si>
  <si>
    <t>R4</t>
  </si>
  <si>
    <t>数据风险</t>
  </si>
  <si>
    <t>样例研报数据量不足，覆盖行业/格式不全</t>
  </si>
  <si>
    <t>模型泛化能力评估不充分</t>
  </si>
  <si>
    <t>低</t>
  </si>
  <si>
    <t>第1周和第6周两次集中收集/扩充测试数据集</t>
  </si>
  <si>
    <t>R5</t>
  </si>
  <si>
    <t>协作风险</t>
  </si>
  <si>
    <t>两人模块接口定义不一致导致联调困难</t>
  </si>
  <si>
    <t>集成阶段返工</t>
  </si>
  <si>
    <t>Week2/Week4集成前先对齐JSON schema与函数签名文档</t>
  </si>
  <si>
    <t>研报名称/公司</t>
  </si>
  <si>
    <t>所属行业</t>
  </si>
  <si>
    <t>来源</t>
  </si>
  <si>
    <t>字数(约)</t>
  </si>
  <si>
    <t>含Markdown表格</t>
  </si>
  <si>
    <t>标注状态</t>
  </si>
  <si>
    <t>翰博高新（301321）</t>
  </si>
  <si>
    <t>光学光电子</t>
  </si>
  <si>
    <t>第一周/测试研报/光学光电子.pdf</t>
  </si>
  <si>
    <t>是</t>
  </si>
  <si>
    <t>已转换为Markdown</t>
  </si>
  <si>
    <t>买入；2026-07-07；5页；Markdown：光学光电子.md</t>
  </si>
  <si>
    <t>水泥</t>
  </si>
  <si>
    <t>第一周/测试研报/水泥.pdf</t>
  </si>
  <si>
    <t>；2026-07-10；4页；Markdown：水泥.md</t>
  </si>
  <si>
    <t>三祥科技（920195）</t>
  </si>
  <si>
    <t>汽车零部件</t>
  </si>
  <si>
    <t>第一周/测试研报/汽车零部件.pdf</t>
  </si>
  <si>
    <t>买入；2026-07-11；23页；Markdown：汽车零部件.md</t>
  </si>
  <si>
    <t>浙数文化（600633）</t>
  </si>
  <si>
    <t>游戏Ⅱ</t>
  </si>
  <si>
    <t>第一周/测试研报/游戏Ⅱ.pdf</t>
  </si>
  <si>
    <t>买入；2026-07-08；28页；Markdown：游戏Ⅱ.md</t>
  </si>
  <si>
    <t>酷特智能（300840）</t>
  </si>
  <si>
    <t>纺织家居</t>
  </si>
  <si>
    <t>第一周/测试研报/纺织家居.pdf</t>
  </si>
  <si>
    <t>买入；2026-07-10；5页；Markdown：纺织家居.md</t>
  </si>
  <si>
    <t>大族激光（002008）</t>
  </si>
  <si>
    <t>自动化设备</t>
  </si>
  <si>
    <t>第一周/测试研报/自动化设备.pdf</t>
  </si>
  <si>
    <t>买入；2026-07-10；3页；Markdown：自动化设备.md</t>
  </si>
  <si>
    <t>中远海能（600026）</t>
  </si>
  <si>
    <t>航运港口</t>
  </si>
  <si>
    <t>第一周/测试研报/航运港口.pdf</t>
  </si>
  <si>
    <t>买入；2026-07-11；3页；Markdown：航运港口.md</t>
  </si>
  <si>
    <t>中信证券（600030）</t>
  </si>
  <si>
    <t>证券Ⅱ</t>
  </si>
  <si>
    <t>第一周/测试研报/证券Ⅱ.pdf</t>
  </si>
  <si>
    <t>买入；2026-07-10；5页；Markdown：证券Ⅱ.md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</si>
</sst>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2">
    <font>
      <sz val="11"/>
      <color theme="1"/>
      <name val="Calibri"/>
      <charset val="1"/>
    </font>
    <font>
      <b/>
      <sz val="11"/>
      <color rgb="FFFFFFFF"/>
      <name val="Noto Sans CJK SC"/>
      <charset val="134"/>
    </font>
    <font>
      <sz val="10"/>
      <name val="Noto Sans CJK SC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color rgb="FFFFFFFF"/>
      <name val="Noto Sans CJK SC"/>
      <charset val="134"/>
    </font>
    <font>
      <b/>
      <sz val="11"/>
      <color rgb="FF1F3864"/>
      <name val="Noto Sans CJK SC"/>
      <charset val="134"/>
    </font>
    <font>
      <b/>
      <sz val="11"/>
      <name val="Arial"/>
      <charset val="134"/>
    </font>
    <font>
      <b/>
      <sz val="16"/>
      <color rgb="FF1F3864"/>
      <name val="Noto Sans CJK SC"/>
      <charset val="134"/>
    </font>
    <font>
      <b/>
      <sz val="10"/>
      <name val="Noto Sans CJK SC"/>
      <charset val="134"/>
    </font>
    <font>
      <sz val="10"/>
      <color rgb="FF0000FF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969696"/>
      </patternFill>
    </fill>
    <fill>
      <patternFill patternType="solid">
        <fgColor rgb="FFD9E2F3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>
      <alignment vertical="center"/>
    </xf>
    <xf numFmtId="44" fontId="12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6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7" borderId="5">
      <alignment vertical="center"/>
    </xf>
    <xf numFmtId="0" fontId="22" fillId="8" borderId="6">
      <alignment vertical="center"/>
    </xf>
    <xf numFmtId="0" fontId="23" fillId="8" borderId="5">
      <alignment vertical="center"/>
    </xf>
    <xf numFmtId="0" fontId="24" fillId="9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6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5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D9D9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BFBFB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9E2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FF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showGridLines="0" zoomScale="125" zoomScaleNormal="125" workbookViewId="0">
      <selection activeCell="C16" sqref="A1:C16"/>
    </sheetView>
  </sheetViews>
  <sheetFormatPr defaultColWidth="8.66666666666667" defaultRowHeight="14.55" outlineLevelCol="1"/>
  <cols>
    <col min="1" max="1" width="22" customWidth="1"/>
    <col min="2" max="2" width="95" customWidth="1"/>
  </cols>
  <sheetData>
    <row r="1" ht="27.75" customHeight="1" spans="1:1">
      <c r="A1" s="15" t="s">
        <v>0</v>
      </c>
    </row>
    <row r="3" ht="19.5" customHeight="1" spans="1:2">
      <c r="A3" s="16" t="s">
        <v>1</v>
      </c>
      <c r="B3" s="2" t="s">
        <v>2</v>
      </c>
    </row>
    <row r="4" ht="45" customHeight="1" spans="1:2">
      <c r="A4" s="16" t="s">
        <v>3</v>
      </c>
      <c r="B4" s="2" t="s">
        <v>4</v>
      </c>
    </row>
    <row r="5" ht="60" customHeight="1" spans="1:2">
      <c r="A5" s="16" t="s">
        <v>5</v>
      </c>
      <c r="B5" s="3" t="s">
        <v>6</v>
      </c>
    </row>
    <row r="6" ht="49.7" customHeight="1" spans="1:2">
      <c r="A6" s="16" t="s">
        <v>7</v>
      </c>
      <c r="B6" s="2" t="s">
        <v>8</v>
      </c>
    </row>
    <row r="7" ht="19.5" customHeight="1" spans="1:2">
      <c r="A7" s="16" t="s">
        <v>9</v>
      </c>
      <c r="B7" s="3" t="s">
        <v>10</v>
      </c>
    </row>
    <row r="8" ht="19.5" customHeight="1" spans="1:2">
      <c r="A8" s="16" t="s">
        <v>11</v>
      </c>
      <c r="B8" s="2" t="s">
        <v>12</v>
      </c>
    </row>
    <row r="9" ht="19.5" customHeight="1" spans="1:2">
      <c r="A9" s="16" t="s">
        <v>13</v>
      </c>
      <c r="B9" s="2" t="s">
        <v>14</v>
      </c>
    </row>
    <row r="10" ht="30" customHeight="1" spans="1:2">
      <c r="A10" s="16" t="s">
        <v>15</v>
      </c>
      <c r="B10" s="2" t="s">
        <v>16</v>
      </c>
    </row>
    <row r="11" ht="19.5" customHeight="1" spans="1:2">
      <c r="A11" s="16" t="s">
        <v>17</v>
      </c>
      <c r="B11" s="17" t="s">
        <v>18</v>
      </c>
    </row>
    <row r="12" ht="30" customHeight="1" spans="1:2">
      <c r="A12" s="16" t="s">
        <v>19</v>
      </c>
      <c r="B12" s="3" t="s">
        <v>20</v>
      </c>
    </row>
    <row r="13" ht="30" customHeight="1" spans="1:2">
      <c r="A13" s="16" t="s">
        <v>21</v>
      </c>
      <c r="B13" s="2" t="s">
        <v>22</v>
      </c>
    </row>
    <row r="14" ht="30" customHeight="1" spans="1:2">
      <c r="A14" s="16" t="s">
        <v>23</v>
      </c>
      <c r="B14" s="3" t="s">
        <v>24</v>
      </c>
    </row>
    <row r="19" spans="1:1">
      <c r="A19" s="18" t="s">
        <v>25</v>
      </c>
    </row>
    <row r="20" spans="1:1">
      <c r="A20" s="18" t="s">
        <v>26</v>
      </c>
    </row>
    <row r="21" spans="1:1">
      <c r="A21" s="18" t="s">
        <v>27</v>
      </c>
    </row>
    <row r="22" spans="1:1">
      <c r="A22" s="18" t="s">
        <v>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zoomScale="125" zoomScaleNormal="125" workbookViewId="0">
      <pane ySplit="1" topLeftCell="A2" activePane="bottomLeft" state="frozen"/>
      <selection/>
      <selection pane="bottomLeft" activeCell="D2" sqref="D2"/>
    </sheetView>
  </sheetViews>
  <sheetFormatPr defaultColWidth="8.66666666666667" defaultRowHeight="14.55" outlineLevelRow="7" outlineLevelCol="5"/>
  <cols>
    <col min="1" max="1" width="8" customWidth="1"/>
    <col min="2" max="2" width="20" customWidth="1"/>
    <col min="3" max="4" width="26" customWidth="1"/>
    <col min="5" max="5" width="30" customWidth="1"/>
    <col min="6" max="6" width="40" customWidth="1"/>
  </cols>
  <sheetData>
    <row r="1" ht="25.5" customHeight="1" spans="1:6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</row>
    <row r="2" ht="60" customHeight="1" spans="1:6">
      <c r="A2" s="3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3" t="s">
        <v>40</v>
      </c>
    </row>
    <row r="3" ht="60" customHeight="1" spans="1:6">
      <c r="A3" s="3" t="s">
        <v>41</v>
      </c>
      <c r="B3" s="2" t="s">
        <v>42</v>
      </c>
      <c r="C3" s="2" t="s">
        <v>43</v>
      </c>
      <c r="D3" s="2" t="s">
        <v>44</v>
      </c>
      <c r="E3" s="3" t="s">
        <v>45</v>
      </c>
      <c r="F3" s="2" t="s">
        <v>46</v>
      </c>
    </row>
    <row r="4" ht="60" customHeight="1" spans="1:6">
      <c r="A4" s="3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3" t="s">
        <v>52</v>
      </c>
    </row>
    <row r="5" ht="60" customHeight="1" spans="1:6">
      <c r="A5" s="3" t="s">
        <v>53</v>
      </c>
      <c r="B5" s="2" t="s">
        <v>54</v>
      </c>
      <c r="C5" s="2" t="s">
        <v>55</v>
      </c>
      <c r="D5" s="2" t="s">
        <v>56</v>
      </c>
      <c r="E5" s="3" t="s">
        <v>57</v>
      </c>
      <c r="F5" s="2" t="s">
        <v>58</v>
      </c>
    </row>
    <row r="6" ht="60" customHeight="1" spans="1:6">
      <c r="A6" s="3" t="s">
        <v>59</v>
      </c>
      <c r="B6" s="2" t="s">
        <v>60</v>
      </c>
      <c r="C6" s="2" t="s">
        <v>61</v>
      </c>
      <c r="D6" s="2" t="s">
        <v>62</v>
      </c>
      <c r="E6" s="3" t="s">
        <v>63</v>
      </c>
      <c r="F6" s="3" t="s">
        <v>64</v>
      </c>
    </row>
    <row r="7" ht="60" customHeight="1" spans="1:6">
      <c r="A7" s="3" t="s">
        <v>65</v>
      </c>
      <c r="B7" s="3" t="s">
        <v>66</v>
      </c>
      <c r="C7" s="2" t="s">
        <v>67</v>
      </c>
      <c r="D7" s="2" t="s">
        <v>68</v>
      </c>
      <c r="E7" s="3" t="s">
        <v>69</v>
      </c>
      <c r="F7" s="2" t="s">
        <v>70</v>
      </c>
    </row>
    <row r="8" ht="60" customHeight="1" spans="1:6">
      <c r="A8" s="3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3" t="s">
        <v>76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showGridLines="0" tabSelected="1" zoomScale="107" zoomScaleNormal="107" workbookViewId="0">
      <pane xSplit="2" ySplit="1" topLeftCell="C2" activePane="bottomRight" state="frozen"/>
      <selection/>
      <selection pane="topRight"/>
      <selection pane="bottomLeft"/>
      <selection pane="bottomRight" activeCell="D5" sqref="D5"/>
    </sheetView>
  </sheetViews>
  <sheetFormatPr defaultColWidth="8.66666666666667" defaultRowHeight="14.55"/>
  <cols>
    <col min="1" max="1" width="8" customWidth="1"/>
    <col min="2" max="2" width="9" customWidth="1"/>
    <col min="3" max="3" width="16" customWidth="1"/>
    <col min="4" max="4" width="46" customWidth="1"/>
    <col min="5" max="6" width="10" customWidth="1"/>
    <col min="7" max="7" width="8" customWidth="1"/>
    <col min="8" max="9" width="10" customWidth="1"/>
    <col min="10" max="10" width="42" customWidth="1"/>
    <col min="11" max="11" width="10" customWidth="1"/>
    <col min="12" max="14" width="13" customWidth="1"/>
    <col min="15" max="15" width="24" customWidth="1"/>
  </cols>
  <sheetData>
    <row r="1" ht="30" customHeight="1" spans="1:15">
      <c r="A1" s="4" t="s">
        <v>77</v>
      </c>
      <c r="B1" s="4" t="s">
        <v>78</v>
      </c>
      <c r="C1" s="4" t="s">
        <v>30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</row>
    <row r="2" ht="33.75" customHeight="1" spans="1:15">
      <c r="A2" s="5" t="s">
        <v>91</v>
      </c>
      <c r="B2" s="5">
        <v>1</v>
      </c>
      <c r="C2" s="6" t="s">
        <v>92</v>
      </c>
      <c r="D2" s="7" t="s">
        <v>93</v>
      </c>
      <c r="E2" s="6" t="s">
        <v>94</v>
      </c>
      <c r="F2" s="6" t="s">
        <v>94</v>
      </c>
      <c r="G2" s="5" t="s">
        <v>95</v>
      </c>
      <c r="H2" s="6">
        <v>4</v>
      </c>
      <c r="I2" s="6"/>
      <c r="J2" s="7" t="s">
        <v>96</v>
      </c>
      <c r="K2" s="12" t="s">
        <v>97</v>
      </c>
      <c r="L2" s="13">
        <f>项目概览!$B$11+(B2-1)*7</f>
        <v>46209</v>
      </c>
      <c r="M2" s="13">
        <f t="shared" ref="M2:M28" si="0">L2+6</f>
        <v>46215</v>
      </c>
      <c r="N2" s="6"/>
      <c r="O2" s="2"/>
    </row>
    <row r="3" ht="33.75" customHeight="1" spans="1:15">
      <c r="A3" s="5" t="s">
        <v>98</v>
      </c>
      <c r="B3" s="6">
        <v>1</v>
      </c>
      <c r="C3" s="6" t="s">
        <v>92</v>
      </c>
      <c r="D3" s="2" t="s">
        <v>99</v>
      </c>
      <c r="E3" s="6" t="s">
        <v>94</v>
      </c>
      <c r="F3" s="6" t="s">
        <v>94</v>
      </c>
      <c r="G3" s="5" t="s">
        <v>100</v>
      </c>
      <c r="H3" s="6">
        <v>4</v>
      </c>
      <c r="I3" s="6"/>
      <c r="J3" s="2" t="s">
        <v>101</v>
      </c>
      <c r="K3" s="12" t="s">
        <v>97</v>
      </c>
      <c r="L3" s="13">
        <f>项目概览!$B$11+(B3-1)*7</f>
        <v>46209</v>
      </c>
      <c r="M3" s="13">
        <f t="shared" si="0"/>
        <v>46215</v>
      </c>
      <c r="N3" s="6"/>
      <c r="O3" s="2"/>
    </row>
    <row r="4" ht="33.75" customHeight="1" spans="1:15">
      <c r="A4" s="5" t="s">
        <v>102</v>
      </c>
      <c r="B4" s="6">
        <v>1</v>
      </c>
      <c r="C4" s="6" t="s">
        <v>92</v>
      </c>
      <c r="D4" s="2" t="s">
        <v>103</v>
      </c>
      <c r="E4" s="6" t="s">
        <v>104</v>
      </c>
      <c r="F4" s="6" t="s">
        <v>105</v>
      </c>
      <c r="G4" s="5" t="s">
        <v>95</v>
      </c>
      <c r="H4" s="6">
        <v>4</v>
      </c>
      <c r="I4" s="5" t="s">
        <v>98</v>
      </c>
      <c r="J4" s="2" t="s">
        <v>106</v>
      </c>
      <c r="K4" s="6" t="s">
        <v>97</v>
      </c>
      <c r="L4" s="13">
        <f>项目概览!$B$11+(B4-1)*7</f>
        <v>46209</v>
      </c>
      <c r="M4" s="13">
        <f t="shared" si="0"/>
        <v>46215</v>
      </c>
      <c r="N4" s="6"/>
      <c r="O4" s="2"/>
    </row>
    <row r="5" ht="33.75" customHeight="1" spans="1:15">
      <c r="A5" s="5" t="s">
        <v>107</v>
      </c>
      <c r="B5" s="6">
        <v>1</v>
      </c>
      <c r="C5" s="6" t="s">
        <v>92</v>
      </c>
      <c r="D5" s="7" t="s">
        <v>108</v>
      </c>
      <c r="E5" s="6" t="s">
        <v>105</v>
      </c>
      <c r="F5" s="6" t="s">
        <v>104</v>
      </c>
      <c r="G5" s="5" t="s">
        <v>95</v>
      </c>
      <c r="H5" s="6">
        <v>4</v>
      </c>
      <c r="I5" s="5" t="s">
        <v>98</v>
      </c>
      <c r="J5" s="2" t="s">
        <v>109</v>
      </c>
      <c r="K5" s="6" t="s">
        <v>97</v>
      </c>
      <c r="L5" s="13">
        <f>项目概览!$B$11+(B5-1)*7</f>
        <v>46209</v>
      </c>
      <c r="M5" s="13">
        <f t="shared" si="0"/>
        <v>46215</v>
      </c>
      <c r="N5" s="6"/>
      <c r="O5" s="2"/>
    </row>
    <row r="6" ht="33.75" customHeight="1" spans="1:15">
      <c r="A6" s="5" t="s">
        <v>110</v>
      </c>
      <c r="B6" s="6">
        <v>1</v>
      </c>
      <c r="C6" s="6" t="s">
        <v>92</v>
      </c>
      <c r="D6" s="2" t="s">
        <v>111</v>
      </c>
      <c r="E6" s="6" t="s">
        <v>94</v>
      </c>
      <c r="F6" s="6" t="s">
        <v>94</v>
      </c>
      <c r="G6" s="5" t="s">
        <v>100</v>
      </c>
      <c r="H6" s="6">
        <v>2</v>
      </c>
      <c r="I6" s="6"/>
      <c r="J6" s="2" t="s">
        <v>112</v>
      </c>
      <c r="K6" s="6" t="s">
        <v>113</v>
      </c>
      <c r="L6" s="13">
        <f>项目概览!$B$11+(B6-1)*7</f>
        <v>46209</v>
      </c>
      <c r="M6" s="13">
        <f t="shared" si="0"/>
        <v>46215</v>
      </c>
      <c r="N6" s="6"/>
      <c r="O6" s="2"/>
    </row>
    <row r="7" ht="33.75" customHeight="1" spans="1:15">
      <c r="A7" s="5" t="s">
        <v>114</v>
      </c>
      <c r="B7" s="6">
        <v>2</v>
      </c>
      <c r="C7" s="6" t="s">
        <v>115</v>
      </c>
      <c r="D7" s="2" t="s">
        <v>116</v>
      </c>
      <c r="E7" s="6" t="s">
        <v>104</v>
      </c>
      <c r="F7" s="6" t="s">
        <v>105</v>
      </c>
      <c r="G7" s="5" t="s">
        <v>100</v>
      </c>
      <c r="H7" s="6">
        <v>3</v>
      </c>
      <c r="I7" s="5" t="s">
        <v>110</v>
      </c>
      <c r="J7" s="3" t="s">
        <v>117</v>
      </c>
      <c r="K7" s="6" t="s">
        <v>113</v>
      </c>
      <c r="L7" s="13">
        <f>项目概览!$B$11+(B7-1)*7</f>
        <v>46216</v>
      </c>
      <c r="M7" s="13">
        <f t="shared" si="0"/>
        <v>46222</v>
      </c>
      <c r="N7" s="6"/>
      <c r="O7" s="2"/>
    </row>
    <row r="8" ht="33.75" customHeight="1" spans="1:15">
      <c r="A8" s="8" t="s">
        <v>118</v>
      </c>
      <c r="B8" s="6">
        <v>2</v>
      </c>
      <c r="C8" s="6" t="s">
        <v>115</v>
      </c>
      <c r="D8" s="2" t="s">
        <v>119</v>
      </c>
      <c r="E8" s="6" t="s">
        <v>104</v>
      </c>
      <c r="F8" s="6"/>
      <c r="G8" s="5" t="s">
        <v>100</v>
      </c>
      <c r="H8" s="6">
        <v>5</v>
      </c>
      <c r="I8" s="5" t="s">
        <v>114</v>
      </c>
      <c r="J8" s="2" t="s">
        <v>120</v>
      </c>
      <c r="K8" s="6" t="s">
        <v>113</v>
      </c>
      <c r="L8" s="13">
        <f>项目概览!$B$11+(B8-1)*7</f>
        <v>46216</v>
      </c>
      <c r="M8" s="13">
        <f t="shared" si="0"/>
        <v>46222</v>
      </c>
      <c r="N8" s="6"/>
      <c r="O8" s="2"/>
    </row>
    <row r="9" ht="33.75" customHeight="1" spans="1:15">
      <c r="A9" s="5" t="s">
        <v>121</v>
      </c>
      <c r="B9" s="6">
        <v>2</v>
      </c>
      <c r="C9" s="6" t="s">
        <v>115</v>
      </c>
      <c r="D9" s="2" t="s">
        <v>122</v>
      </c>
      <c r="E9" s="6" t="s">
        <v>104</v>
      </c>
      <c r="F9" s="6"/>
      <c r="G9" s="5" t="s">
        <v>100</v>
      </c>
      <c r="H9" s="6">
        <v>6</v>
      </c>
      <c r="I9" s="5" t="s">
        <v>118</v>
      </c>
      <c r="J9" s="3" t="s">
        <v>123</v>
      </c>
      <c r="K9" s="6" t="s">
        <v>113</v>
      </c>
      <c r="L9" s="13">
        <f>项目概览!$B$11+(B9-1)*7</f>
        <v>46216</v>
      </c>
      <c r="M9" s="13">
        <f t="shared" si="0"/>
        <v>46222</v>
      </c>
      <c r="N9" s="6"/>
      <c r="O9" s="2"/>
    </row>
    <row r="10" ht="33.75" customHeight="1" spans="1:15">
      <c r="A10" s="5" t="s">
        <v>124</v>
      </c>
      <c r="B10" s="6">
        <v>2</v>
      </c>
      <c r="C10" s="6" t="s">
        <v>125</v>
      </c>
      <c r="D10" s="2" t="s">
        <v>126</v>
      </c>
      <c r="E10" s="6" t="s">
        <v>105</v>
      </c>
      <c r="F10" s="6"/>
      <c r="G10" s="5" t="s">
        <v>100</v>
      </c>
      <c r="H10" s="6">
        <v>6</v>
      </c>
      <c r="I10" s="5" t="s">
        <v>107</v>
      </c>
      <c r="J10" s="2" t="s">
        <v>127</v>
      </c>
      <c r="K10" s="6" t="s">
        <v>113</v>
      </c>
      <c r="L10" s="13">
        <f>项目概览!$B$11+(B10-1)*7</f>
        <v>46216</v>
      </c>
      <c r="M10" s="13">
        <f t="shared" si="0"/>
        <v>46222</v>
      </c>
      <c r="N10" s="6"/>
      <c r="O10" s="2"/>
    </row>
    <row r="11" ht="33.75" customHeight="1" spans="1:15">
      <c r="A11" s="5" t="s">
        <v>128</v>
      </c>
      <c r="B11" s="6">
        <v>2</v>
      </c>
      <c r="C11" s="6" t="s">
        <v>125</v>
      </c>
      <c r="D11" s="2" t="s">
        <v>129</v>
      </c>
      <c r="E11" s="6" t="s">
        <v>105</v>
      </c>
      <c r="F11" s="6" t="s">
        <v>104</v>
      </c>
      <c r="G11" s="5" t="s">
        <v>95</v>
      </c>
      <c r="H11" s="6">
        <v>4</v>
      </c>
      <c r="I11" s="5" t="s">
        <v>107</v>
      </c>
      <c r="J11" s="2" t="s">
        <v>130</v>
      </c>
      <c r="K11" s="6" t="s">
        <v>113</v>
      </c>
      <c r="L11" s="13">
        <f>项目概览!$B$11+(B11-1)*7</f>
        <v>46216</v>
      </c>
      <c r="M11" s="13">
        <f t="shared" si="0"/>
        <v>46222</v>
      </c>
      <c r="N11" s="6"/>
      <c r="O11" s="2"/>
    </row>
    <row r="12" ht="33.75" customHeight="1" spans="1:15">
      <c r="A12" s="5" t="s">
        <v>131</v>
      </c>
      <c r="B12" s="6">
        <v>2</v>
      </c>
      <c r="C12" s="6" t="s">
        <v>132</v>
      </c>
      <c r="D12" s="2" t="s">
        <v>133</v>
      </c>
      <c r="E12" s="6" t="s">
        <v>94</v>
      </c>
      <c r="F12" s="6" t="s">
        <v>94</v>
      </c>
      <c r="G12" s="5" t="s">
        <v>100</v>
      </c>
      <c r="H12" s="6">
        <v>3</v>
      </c>
      <c r="I12" s="5" t="s">
        <v>134</v>
      </c>
      <c r="J12" s="2" t="s">
        <v>135</v>
      </c>
      <c r="K12" s="6" t="s">
        <v>113</v>
      </c>
      <c r="L12" s="13">
        <f>项目概览!$B$11+(B12-1)*7</f>
        <v>46216</v>
      </c>
      <c r="M12" s="13">
        <f t="shared" si="0"/>
        <v>46222</v>
      </c>
      <c r="N12" s="6"/>
      <c r="O12" s="2"/>
    </row>
    <row r="13" ht="33.75" customHeight="1" spans="1:15">
      <c r="A13" s="8" t="s">
        <v>136</v>
      </c>
      <c r="B13" s="6">
        <v>3</v>
      </c>
      <c r="C13" s="6" t="s">
        <v>137</v>
      </c>
      <c r="D13" s="2" t="s">
        <v>138</v>
      </c>
      <c r="E13" s="6" t="s">
        <v>104</v>
      </c>
      <c r="F13" s="6"/>
      <c r="G13" s="5" t="s">
        <v>100</v>
      </c>
      <c r="H13" s="6">
        <v>3</v>
      </c>
      <c r="I13" s="5" t="s">
        <v>131</v>
      </c>
      <c r="J13" s="2" t="s">
        <v>139</v>
      </c>
      <c r="K13" s="6" t="s">
        <v>113</v>
      </c>
      <c r="L13" s="13">
        <f>项目概览!$B$11+(B13-1)*7</f>
        <v>46223</v>
      </c>
      <c r="M13" s="13">
        <f t="shared" si="0"/>
        <v>46229</v>
      </c>
      <c r="N13" s="6"/>
      <c r="O13" s="2"/>
    </row>
    <row r="14" ht="33.75" customHeight="1" spans="1:15">
      <c r="A14" s="8" t="s">
        <v>140</v>
      </c>
      <c r="B14" s="6">
        <v>3</v>
      </c>
      <c r="C14" s="6" t="s">
        <v>137</v>
      </c>
      <c r="D14" s="2" t="s">
        <v>141</v>
      </c>
      <c r="E14" s="6" t="s">
        <v>104</v>
      </c>
      <c r="F14" s="6"/>
      <c r="G14" s="5" t="s">
        <v>100</v>
      </c>
      <c r="H14" s="6">
        <v>6</v>
      </c>
      <c r="I14" s="5" t="s">
        <v>136</v>
      </c>
      <c r="J14" s="2" t="s">
        <v>142</v>
      </c>
      <c r="K14" s="6" t="s">
        <v>113</v>
      </c>
      <c r="L14" s="13">
        <f>项目概览!$B$11+(B14-1)*7</f>
        <v>46223</v>
      </c>
      <c r="M14" s="13">
        <f t="shared" si="0"/>
        <v>46229</v>
      </c>
      <c r="N14" s="6"/>
      <c r="O14" s="2"/>
    </row>
    <row r="15" ht="33.75" customHeight="1" spans="1:15">
      <c r="A15" s="8" t="s">
        <v>143</v>
      </c>
      <c r="B15" s="6">
        <v>3</v>
      </c>
      <c r="C15" s="6" t="s">
        <v>137</v>
      </c>
      <c r="D15" s="2" t="s">
        <v>144</v>
      </c>
      <c r="E15" s="6" t="s">
        <v>104</v>
      </c>
      <c r="F15" s="6" t="s">
        <v>105</v>
      </c>
      <c r="G15" s="5" t="s">
        <v>95</v>
      </c>
      <c r="H15" s="6">
        <v>4</v>
      </c>
      <c r="I15" s="5" t="s">
        <v>140</v>
      </c>
      <c r="J15" s="2" t="s">
        <v>145</v>
      </c>
      <c r="K15" s="6" t="s">
        <v>113</v>
      </c>
      <c r="L15" s="13">
        <f>项目概览!$B$11+(B15-1)*7</f>
        <v>46223</v>
      </c>
      <c r="M15" s="13">
        <f t="shared" si="0"/>
        <v>46229</v>
      </c>
      <c r="N15" s="6"/>
      <c r="O15" s="2"/>
    </row>
    <row r="16" ht="33.75" customHeight="1" spans="1:15">
      <c r="A16" s="8" t="s">
        <v>146</v>
      </c>
      <c r="B16" s="6">
        <v>3</v>
      </c>
      <c r="C16" s="6" t="s">
        <v>54</v>
      </c>
      <c r="D16" s="2" t="s">
        <v>147</v>
      </c>
      <c r="E16" s="6" t="s">
        <v>105</v>
      </c>
      <c r="F16" s="6"/>
      <c r="G16" s="5" t="s">
        <v>100</v>
      </c>
      <c r="H16" s="6">
        <v>6</v>
      </c>
      <c r="I16" s="5" t="s">
        <v>107</v>
      </c>
      <c r="J16" s="2" t="s">
        <v>148</v>
      </c>
      <c r="K16" s="6" t="s">
        <v>113</v>
      </c>
      <c r="L16" s="13">
        <f>项目概览!$B$11+(B16-1)*7</f>
        <v>46223</v>
      </c>
      <c r="M16" s="13">
        <f t="shared" si="0"/>
        <v>46229</v>
      </c>
      <c r="N16" s="6"/>
      <c r="O16" s="2"/>
    </row>
    <row r="17" ht="33.75" customHeight="1" spans="1:15">
      <c r="A17" s="8" t="s">
        <v>149</v>
      </c>
      <c r="B17" s="6">
        <v>3</v>
      </c>
      <c r="C17" s="6" t="s">
        <v>54</v>
      </c>
      <c r="D17" s="2" t="s">
        <v>150</v>
      </c>
      <c r="E17" s="6" t="s">
        <v>105</v>
      </c>
      <c r="F17" s="6"/>
      <c r="G17" s="5" t="s">
        <v>100</v>
      </c>
      <c r="H17" s="6">
        <v>4</v>
      </c>
      <c r="I17" s="5" t="s">
        <v>107</v>
      </c>
      <c r="J17" s="2" t="s">
        <v>151</v>
      </c>
      <c r="K17" s="6" t="s">
        <v>113</v>
      </c>
      <c r="L17" s="13">
        <f>项目概览!$B$11+(B17-1)*7</f>
        <v>46223</v>
      </c>
      <c r="M17" s="13">
        <f t="shared" si="0"/>
        <v>46229</v>
      </c>
      <c r="N17" s="6"/>
      <c r="O17" s="2"/>
    </row>
    <row r="18" ht="33.75" customHeight="1" spans="1:15">
      <c r="A18" s="5" t="s">
        <v>152</v>
      </c>
      <c r="B18" s="6">
        <v>3</v>
      </c>
      <c r="C18" s="6" t="s">
        <v>132</v>
      </c>
      <c r="D18" s="2" t="s">
        <v>153</v>
      </c>
      <c r="E18" s="6" t="s">
        <v>94</v>
      </c>
      <c r="F18" s="6" t="s">
        <v>94</v>
      </c>
      <c r="G18" s="5" t="s">
        <v>100</v>
      </c>
      <c r="H18" s="6">
        <v>3</v>
      </c>
      <c r="I18" s="5" t="s">
        <v>154</v>
      </c>
      <c r="J18" s="2" t="s">
        <v>155</v>
      </c>
      <c r="K18" s="6" t="s">
        <v>113</v>
      </c>
      <c r="L18" s="13">
        <f>项目概览!$B$11+(B18-1)*7</f>
        <v>46223</v>
      </c>
      <c r="M18" s="13">
        <f t="shared" si="0"/>
        <v>46229</v>
      </c>
      <c r="N18" s="6"/>
      <c r="O18" s="2"/>
    </row>
    <row r="19" ht="33.75" customHeight="1" spans="1:15">
      <c r="A19" s="5" t="s">
        <v>156</v>
      </c>
      <c r="B19" s="6">
        <v>3</v>
      </c>
      <c r="C19" s="6" t="s">
        <v>132</v>
      </c>
      <c r="D19" s="2" t="s">
        <v>157</v>
      </c>
      <c r="E19" s="6" t="s">
        <v>94</v>
      </c>
      <c r="F19" s="6" t="s">
        <v>94</v>
      </c>
      <c r="G19" s="5" t="s">
        <v>100</v>
      </c>
      <c r="H19" s="6">
        <v>5</v>
      </c>
      <c r="I19" s="5" t="s">
        <v>152</v>
      </c>
      <c r="J19" s="2" t="s">
        <v>158</v>
      </c>
      <c r="K19" s="6" t="s">
        <v>113</v>
      </c>
      <c r="L19" s="13">
        <f>项目概览!$B$11+(B19-1)*7</f>
        <v>46223</v>
      </c>
      <c r="M19" s="13">
        <f t="shared" si="0"/>
        <v>46229</v>
      </c>
      <c r="N19" s="6"/>
      <c r="O19" s="2"/>
    </row>
    <row r="20" ht="33.75" customHeight="1" spans="1:15">
      <c r="A20" s="5" t="s">
        <v>159</v>
      </c>
      <c r="B20" s="6">
        <v>4</v>
      </c>
      <c r="C20" s="6" t="s">
        <v>125</v>
      </c>
      <c r="D20" s="2" t="s">
        <v>160</v>
      </c>
      <c r="E20" s="6" t="s">
        <v>105</v>
      </c>
      <c r="F20" s="6"/>
      <c r="G20" s="5" t="s">
        <v>100</v>
      </c>
      <c r="H20" s="6">
        <v>6</v>
      </c>
      <c r="I20" s="5" t="s">
        <v>156</v>
      </c>
      <c r="J20" s="3" t="s">
        <v>161</v>
      </c>
      <c r="K20" s="6" t="s">
        <v>113</v>
      </c>
      <c r="L20" s="13">
        <f>项目概览!$B$11+(B20-1)*7</f>
        <v>46230</v>
      </c>
      <c r="M20" s="13">
        <f t="shared" si="0"/>
        <v>46236</v>
      </c>
      <c r="N20" s="6"/>
      <c r="O20" s="2"/>
    </row>
    <row r="21" ht="33.75" customHeight="1" spans="1:15">
      <c r="A21" s="5" t="s">
        <v>162</v>
      </c>
      <c r="B21" s="6">
        <v>4</v>
      </c>
      <c r="C21" s="6" t="s">
        <v>115</v>
      </c>
      <c r="D21" s="2" t="s">
        <v>163</v>
      </c>
      <c r="E21" s="6" t="s">
        <v>104</v>
      </c>
      <c r="F21" s="6"/>
      <c r="G21" s="5" t="s">
        <v>95</v>
      </c>
      <c r="H21" s="6">
        <v>3</v>
      </c>
      <c r="I21" s="5" t="s">
        <v>156</v>
      </c>
      <c r="J21" s="2" t="s">
        <v>164</v>
      </c>
      <c r="K21" s="6" t="s">
        <v>113</v>
      </c>
      <c r="L21" s="13">
        <f>项目概览!$B$11+(B21-1)*7</f>
        <v>46230</v>
      </c>
      <c r="M21" s="13">
        <f t="shared" si="0"/>
        <v>46236</v>
      </c>
      <c r="N21" s="6"/>
      <c r="O21" s="2"/>
    </row>
    <row r="22" ht="33.75" customHeight="1" spans="1:15">
      <c r="A22" s="5" t="s">
        <v>165</v>
      </c>
      <c r="B22" s="6">
        <v>4</v>
      </c>
      <c r="C22" s="6" t="s">
        <v>166</v>
      </c>
      <c r="D22" s="2" t="s">
        <v>167</v>
      </c>
      <c r="E22" s="6" t="s">
        <v>94</v>
      </c>
      <c r="F22" s="6" t="s">
        <v>94</v>
      </c>
      <c r="G22" s="5" t="s">
        <v>100</v>
      </c>
      <c r="H22" s="6">
        <v>4</v>
      </c>
      <c r="I22" s="5" t="s">
        <v>168</v>
      </c>
      <c r="J22" s="2" t="s">
        <v>169</v>
      </c>
      <c r="K22" s="6" t="s">
        <v>113</v>
      </c>
      <c r="L22" s="13">
        <f>项目概览!$B$11+(B22-1)*7</f>
        <v>46230</v>
      </c>
      <c r="M22" s="13">
        <f t="shared" si="0"/>
        <v>46236</v>
      </c>
      <c r="N22" s="6"/>
      <c r="O22" s="2"/>
    </row>
    <row r="23" ht="33.75" customHeight="1" spans="1:15">
      <c r="A23" s="5" t="s">
        <v>170</v>
      </c>
      <c r="B23" s="6">
        <v>4</v>
      </c>
      <c r="C23" s="6" t="s">
        <v>166</v>
      </c>
      <c r="D23" s="2" t="s">
        <v>171</v>
      </c>
      <c r="E23" s="6" t="s">
        <v>94</v>
      </c>
      <c r="F23" s="6" t="s">
        <v>94</v>
      </c>
      <c r="G23" s="5" t="s">
        <v>95</v>
      </c>
      <c r="H23" s="6">
        <v>3</v>
      </c>
      <c r="I23" s="5" t="s">
        <v>165</v>
      </c>
      <c r="J23" s="2" t="s">
        <v>172</v>
      </c>
      <c r="K23" s="6" t="s">
        <v>113</v>
      </c>
      <c r="L23" s="13">
        <f>项目概览!$B$11+(B23-1)*7</f>
        <v>46230</v>
      </c>
      <c r="M23" s="13">
        <f t="shared" si="0"/>
        <v>46236</v>
      </c>
      <c r="N23" s="6"/>
      <c r="O23" s="2"/>
    </row>
    <row r="24" ht="33.75" customHeight="1" spans="1:15">
      <c r="A24" s="5" t="s">
        <v>173</v>
      </c>
      <c r="B24" s="6">
        <v>4</v>
      </c>
      <c r="C24" s="6" t="s">
        <v>166</v>
      </c>
      <c r="D24" s="2" t="s">
        <v>174</v>
      </c>
      <c r="E24" s="6" t="s">
        <v>94</v>
      </c>
      <c r="F24" s="6" t="s">
        <v>94</v>
      </c>
      <c r="G24" s="5" t="s">
        <v>100</v>
      </c>
      <c r="H24" s="6">
        <v>3</v>
      </c>
      <c r="I24" s="5" t="s">
        <v>165</v>
      </c>
      <c r="J24" s="2" t="s">
        <v>175</v>
      </c>
      <c r="K24" s="6" t="s">
        <v>113</v>
      </c>
      <c r="L24" s="13">
        <f>项目概览!$B$11+(B24-1)*7</f>
        <v>46230</v>
      </c>
      <c r="M24" s="13">
        <f t="shared" si="0"/>
        <v>46236</v>
      </c>
      <c r="N24" s="6"/>
      <c r="O24" s="2"/>
    </row>
    <row r="25" ht="33.75" customHeight="1" spans="1:15">
      <c r="A25" s="5" t="s">
        <v>176</v>
      </c>
      <c r="B25" s="6">
        <v>4</v>
      </c>
      <c r="C25" s="6" t="s">
        <v>177</v>
      </c>
      <c r="D25" s="2" t="s">
        <v>178</v>
      </c>
      <c r="E25" s="6" t="s">
        <v>94</v>
      </c>
      <c r="F25" s="6" t="s">
        <v>94</v>
      </c>
      <c r="G25" s="5" t="s">
        <v>100</v>
      </c>
      <c r="H25" s="6">
        <v>3</v>
      </c>
      <c r="I25" s="5" t="s">
        <v>165</v>
      </c>
      <c r="J25" s="3" t="s">
        <v>179</v>
      </c>
      <c r="K25" s="6" t="s">
        <v>113</v>
      </c>
      <c r="L25" s="13">
        <f>项目概览!$B$11+(B25-1)*7</f>
        <v>46230</v>
      </c>
      <c r="M25" s="13">
        <f t="shared" si="0"/>
        <v>46236</v>
      </c>
      <c r="N25" s="6"/>
      <c r="O25" s="2"/>
    </row>
    <row r="26" ht="33.75" customHeight="1" spans="1:15">
      <c r="A26" s="5" t="s">
        <v>180</v>
      </c>
      <c r="B26" s="6">
        <v>4</v>
      </c>
      <c r="C26" s="6" t="s">
        <v>177</v>
      </c>
      <c r="D26" s="2" t="s">
        <v>181</v>
      </c>
      <c r="E26" s="6" t="s">
        <v>94</v>
      </c>
      <c r="F26" s="6" t="s">
        <v>94</v>
      </c>
      <c r="G26" s="5" t="s">
        <v>100</v>
      </c>
      <c r="H26" s="6">
        <v>4</v>
      </c>
      <c r="I26" s="5" t="s">
        <v>173</v>
      </c>
      <c r="J26" s="2" t="s">
        <v>182</v>
      </c>
      <c r="K26" s="6" t="s">
        <v>113</v>
      </c>
      <c r="L26" s="13">
        <f>项目概览!$B$11+(B26-1)*7</f>
        <v>46230</v>
      </c>
      <c r="M26" s="13">
        <f t="shared" si="0"/>
        <v>46236</v>
      </c>
      <c r="N26" s="6"/>
      <c r="O26" s="2"/>
    </row>
    <row r="27" ht="33.75" customHeight="1" spans="1:15">
      <c r="A27" s="5" t="s">
        <v>183</v>
      </c>
      <c r="B27" s="6">
        <v>4</v>
      </c>
      <c r="C27" s="6" t="s">
        <v>177</v>
      </c>
      <c r="D27" s="2" t="s">
        <v>184</v>
      </c>
      <c r="E27" s="6" t="s">
        <v>94</v>
      </c>
      <c r="F27" s="6" t="s">
        <v>94</v>
      </c>
      <c r="G27" s="5" t="s">
        <v>100</v>
      </c>
      <c r="H27" s="6">
        <v>3</v>
      </c>
      <c r="I27" s="5" t="s">
        <v>185</v>
      </c>
      <c r="J27" s="2" t="s">
        <v>186</v>
      </c>
      <c r="K27" s="6" t="s">
        <v>113</v>
      </c>
      <c r="L27" s="13">
        <f>项目概览!$B$11+(B27-1)*7</f>
        <v>46230</v>
      </c>
      <c r="M27" s="13">
        <f t="shared" si="0"/>
        <v>46236</v>
      </c>
      <c r="N27" s="6"/>
      <c r="O27" s="2"/>
    </row>
    <row r="28" ht="33.75" customHeight="1" spans="1:15">
      <c r="A28" s="5" t="s">
        <v>187</v>
      </c>
      <c r="B28" s="6">
        <v>4</v>
      </c>
      <c r="C28" s="6" t="s">
        <v>188</v>
      </c>
      <c r="D28" s="2" t="s">
        <v>189</v>
      </c>
      <c r="E28" s="6" t="s">
        <v>94</v>
      </c>
      <c r="F28" s="6" t="s">
        <v>94</v>
      </c>
      <c r="G28" s="5" t="s">
        <v>95</v>
      </c>
      <c r="H28" s="6">
        <v>1</v>
      </c>
      <c r="I28" s="5" t="s">
        <v>183</v>
      </c>
      <c r="J28" s="2" t="s">
        <v>190</v>
      </c>
      <c r="K28" s="6" t="s">
        <v>113</v>
      </c>
      <c r="L28" s="13">
        <f>项目概览!$B$11+(B28-1)*7</f>
        <v>46230</v>
      </c>
      <c r="M28" s="13">
        <f t="shared" si="0"/>
        <v>46236</v>
      </c>
      <c r="N28" s="6"/>
      <c r="O28" s="2"/>
    </row>
    <row r="30" ht="19.5" customHeight="1" spans="1:1">
      <c r="A30" s="9" t="s">
        <v>191</v>
      </c>
    </row>
    <row r="31" ht="33.75" customHeight="1" spans="1:15">
      <c r="A31" s="5" t="s">
        <v>192</v>
      </c>
      <c r="B31" s="6"/>
      <c r="C31" s="6" t="s">
        <v>193</v>
      </c>
      <c r="D31" s="2" t="s">
        <v>194</v>
      </c>
      <c r="E31" s="6" t="s">
        <v>104</v>
      </c>
      <c r="F31" s="6"/>
      <c r="G31" s="5" t="s">
        <v>195</v>
      </c>
      <c r="H31" s="6">
        <v>4</v>
      </c>
      <c r="I31" s="5" t="s">
        <v>173</v>
      </c>
      <c r="J31" s="2" t="s">
        <v>196</v>
      </c>
      <c r="K31" s="6" t="s">
        <v>113</v>
      </c>
      <c r="L31" s="6"/>
      <c r="M31" s="6"/>
      <c r="N31" s="6"/>
      <c r="O31" s="2"/>
    </row>
    <row r="32" ht="33.75" customHeight="1" spans="1:15">
      <c r="A32" s="5" t="s">
        <v>197</v>
      </c>
      <c r="B32" s="6"/>
      <c r="C32" s="6" t="s">
        <v>198</v>
      </c>
      <c r="D32" s="2" t="s">
        <v>199</v>
      </c>
      <c r="E32" s="6" t="s">
        <v>105</v>
      </c>
      <c r="F32" s="6"/>
      <c r="G32" s="5" t="s">
        <v>195</v>
      </c>
      <c r="H32" s="6">
        <v>4</v>
      </c>
      <c r="I32" s="5" t="s">
        <v>173</v>
      </c>
      <c r="J32" s="2" t="s">
        <v>200</v>
      </c>
      <c r="K32" s="6" t="s">
        <v>113</v>
      </c>
      <c r="L32" s="6"/>
      <c r="M32" s="6"/>
      <c r="N32" s="6"/>
      <c r="O32" s="2"/>
    </row>
    <row r="33" ht="33.75" customHeight="1" spans="1:15">
      <c r="A33" s="5" t="s">
        <v>201</v>
      </c>
      <c r="B33" s="6"/>
      <c r="C33" s="6" t="s">
        <v>202</v>
      </c>
      <c r="D33" s="2" t="s">
        <v>203</v>
      </c>
      <c r="E33" s="6" t="s">
        <v>94</v>
      </c>
      <c r="F33" s="6"/>
      <c r="G33" s="5" t="s">
        <v>195</v>
      </c>
      <c r="H33" s="6">
        <v>6</v>
      </c>
      <c r="I33" s="5" t="s">
        <v>204</v>
      </c>
      <c r="J33" s="2" t="s">
        <v>205</v>
      </c>
      <c r="K33" s="6" t="s">
        <v>113</v>
      </c>
      <c r="L33" s="6"/>
      <c r="M33" s="6"/>
      <c r="N33" s="6"/>
      <c r="O33" s="2"/>
    </row>
    <row r="35" spans="3:10">
      <c r="C35" s="10" t="s">
        <v>206</v>
      </c>
      <c r="D35" s="11" t="s">
        <v>207</v>
      </c>
      <c r="J35" s="14" t="str">
        <f>COUNTIF(K2:K28,"已完成")&amp;" / "&amp;27</f>
        <v>4 / 27</v>
      </c>
    </row>
    <row r="36" spans="4:10">
      <c r="D36" s="11" t="s">
        <v>208</v>
      </c>
      <c r="J36" s="14">
        <f>SUM(H2:H28)</f>
        <v>106</v>
      </c>
    </row>
  </sheetData>
  <autoFilter xmlns:etc="http://www.wps.cn/officeDocument/2017/etCustomData" ref="A1:O28" etc:filterBottomFollowUsedRange="0">
    <extLst/>
  </autoFilter>
  <mergeCells count="1">
    <mergeCell ref="A30:O30"/>
  </mergeCells>
  <conditionalFormatting sqref="K2:K28">
    <cfRule type="cellIs" dxfId="0" priority="2" operator="equal">
      <formula>"未开始"</formula>
    </cfRule>
    <cfRule type="cellIs" dxfId="1" priority="3" operator="equal">
      <formula>"进行中"</formula>
    </cfRule>
    <cfRule type="cellIs" dxfId="2" priority="4" operator="equal">
      <formula>"已完成"</formula>
    </cfRule>
    <cfRule type="cellIs" dxfId="3" priority="5" operator="equal">
      <formula>"延期"</formula>
    </cfRule>
    <cfRule type="cellIs" dxfId="4" priority="6" operator="equal">
      <formula>"已取消"</formula>
    </cfRule>
  </conditionalFormatting>
  <conditionalFormatting sqref="K31:K33">
    <cfRule type="cellIs" dxfId="0" priority="7" operator="equal">
      <formula>"未开始"</formula>
    </cfRule>
    <cfRule type="cellIs" dxfId="1" priority="8" operator="equal">
      <formula>"进行中"</formula>
    </cfRule>
    <cfRule type="cellIs" dxfId="2" priority="9" operator="equal">
      <formula>"已完成"</formula>
    </cfRule>
    <cfRule type="cellIs" dxfId="3" priority="10" operator="equal">
      <formula>"延期"</formula>
    </cfRule>
    <cfRule type="cellIs" dxfId="4" priority="11" operator="equal">
      <formula>"已取消"</formula>
    </cfRule>
  </conditionalFormatting>
  <dataValidations count="3">
    <dataValidation type="list" allowBlank="1" sqref="G2:G28 G31:G33">
      <formula1>"P0,P1,P2,P3"</formula1>
    </dataValidation>
    <dataValidation type="list" allowBlank="1" sqref="K2:K28 K31:K33">
      <formula1>"未开始,进行中,已完成,延期,已取消"</formula1>
    </dataValidation>
    <dataValidation type="list" allowBlank="1" sqref="E2:F28 E31:F33">
      <formula1>"学生A,学生B,共同"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showGridLines="0" workbookViewId="0">
      <pane ySplit="1" topLeftCell="A2" activePane="bottomLeft" state="frozen"/>
      <selection/>
      <selection pane="bottomLeft" activeCell="J2" sqref="J2"/>
    </sheetView>
  </sheetViews>
  <sheetFormatPr defaultColWidth="8.66666666666667" defaultRowHeight="14.55" outlineLevelRow="7" outlineLevelCol="3"/>
  <cols>
    <col min="1" max="1" width="18" customWidth="1"/>
    <col min="2" max="4" width="34" customWidth="1"/>
  </cols>
  <sheetData>
    <row r="1" ht="24" customHeight="1" spans="1:4">
      <c r="A1" s="4" t="s">
        <v>209</v>
      </c>
      <c r="B1" s="4" t="s">
        <v>210</v>
      </c>
      <c r="C1" s="4" t="s">
        <v>211</v>
      </c>
      <c r="D1" s="4" t="s">
        <v>212</v>
      </c>
    </row>
    <row r="2" ht="45.75" customHeight="1" spans="1:4">
      <c r="A2" s="2" t="s">
        <v>213</v>
      </c>
      <c r="B2" s="2" t="s">
        <v>214</v>
      </c>
      <c r="C2" s="2" t="s">
        <v>215</v>
      </c>
      <c r="D2" s="2" t="s">
        <v>216</v>
      </c>
    </row>
    <row r="3" ht="45.75" customHeight="1" spans="1:4">
      <c r="A3" s="2" t="s">
        <v>217</v>
      </c>
      <c r="B3" s="2" t="s">
        <v>218</v>
      </c>
      <c r="C3" s="2" t="s">
        <v>219</v>
      </c>
      <c r="D3" s="2" t="s">
        <v>220</v>
      </c>
    </row>
    <row r="4" ht="45.75" customHeight="1" spans="1:4">
      <c r="A4" s="2" t="s">
        <v>221</v>
      </c>
      <c r="B4" s="2" t="s">
        <v>222</v>
      </c>
      <c r="C4" s="2" t="s">
        <v>223</v>
      </c>
      <c r="D4" s="2" t="s">
        <v>224</v>
      </c>
    </row>
    <row r="5" ht="45.75" customHeight="1" spans="1:4">
      <c r="A5" s="2" t="s">
        <v>225</v>
      </c>
      <c r="B5" s="2" t="s">
        <v>226</v>
      </c>
      <c r="C5" s="3" t="s">
        <v>227</v>
      </c>
      <c r="D5" s="3" t="s">
        <v>228</v>
      </c>
    </row>
    <row r="6" ht="45.75" customHeight="1" spans="1:4">
      <c r="A6" s="2" t="s">
        <v>229</v>
      </c>
      <c r="B6" s="2" t="s">
        <v>230</v>
      </c>
      <c r="C6" s="2" t="s">
        <v>231</v>
      </c>
      <c r="D6" s="2" t="s">
        <v>232</v>
      </c>
    </row>
    <row r="7" ht="45.75" customHeight="1" spans="1:4">
      <c r="A7" s="2" t="s">
        <v>233</v>
      </c>
      <c r="B7" s="2" t="s">
        <v>234</v>
      </c>
      <c r="C7" s="2" t="s">
        <v>235</v>
      </c>
      <c r="D7" s="2" t="s">
        <v>236</v>
      </c>
    </row>
    <row r="8" ht="45.75" customHeight="1" spans="1:4">
      <c r="A8" s="2" t="s">
        <v>237</v>
      </c>
      <c r="B8" s="2" t="s">
        <v>238</v>
      </c>
      <c r="C8" s="2" t="s">
        <v>239</v>
      </c>
      <c r="D8" s="2" t="s">
        <v>240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showGridLines="0" workbookViewId="0">
      <pane ySplit="1" topLeftCell="A2" activePane="bottomLeft" state="frozen"/>
      <selection/>
      <selection pane="bottomLeft" activeCell="J2" sqref="J2"/>
    </sheetView>
  </sheetViews>
  <sheetFormatPr defaultColWidth="8.66666666666667" defaultRowHeight="14.55" outlineLevelRow="5"/>
  <cols>
    <col min="1" max="1" width="8" customWidth="1"/>
    <col min="2" max="2" width="12" customWidth="1"/>
    <col min="3" max="3" width="36" customWidth="1"/>
    <col min="4" max="4" width="24" customWidth="1"/>
    <col min="5" max="5" width="10" customWidth="1"/>
    <col min="6" max="6" width="34" customWidth="1"/>
    <col min="7" max="8" width="10" customWidth="1"/>
    <col min="9" max="9" width="13" customWidth="1"/>
  </cols>
  <sheetData>
    <row r="1" ht="24" customHeight="1" spans="1:9">
      <c r="A1" s="4" t="s">
        <v>241</v>
      </c>
      <c r="B1" s="4" t="s">
        <v>242</v>
      </c>
      <c r="C1" s="4" t="s">
        <v>210</v>
      </c>
      <c r="D1" s="4" t="s">
        <v>243</v>
      </c>
      <c r="E1" s="4" t="s">
        <v>244</v>
      </c>
      <c r="F1" s="4" t="s">
        <v>245</v>
      </c>
      <c r="G1" s="4" t="s">
        <v>80</v>
      </c>
      <c r="H1" s="4" t="s">
        <v>86</v>
      </c>
      <c r="I1" s="4" t="s">
        <v>246</v>
      </c>
    </row>
    <row r="2" ht="39.75" customHeight="1" spans="1:9">
      <c r="A2" s="3" t="s">
        <v>247</v>
      </c>
      <c r="B2" s="2" t="s">
        <v>248</v>
      </c>
      <c r="C2" s="3" t="s">
        <v>249</v>
      </c>
      <c r="D2" s="2" t="s">
        <v>250</v>
      </c>
      <c r="E2" s="2" t="s">
        <v>251</v>
      </c>
      <c r="F2" s="2" t="s">
        <v>252</v>
      </c>
      <c r="G2" s="2" t="s">
        <v>104</v>
      </c>
      <c r="H2" s="2" t="s">
        <v>113</v>
      </c>
      <c r="I2" s="2"/>
    </row>
    <row r="3" ht="39.75" customHeight="1" spans="1:9">
      <c r="A3" s="3" t="s">
        <v>253</v>
      </c>
      <c r="B3" s="2" t="s">
        <v>248</v>
      </c>
      <c r="C3" s="3" t="s">
        <v>254</v>
      </c>
      <c r="D3" s="2" t="s">
        <v>255</v>
      </c>
      <c r="E3" s="2" t="s">
        <v>251</v>
      </c>
      <c r="F3" s="2" t="s">
        <v>256</v>
      </c>
      <c r="G3" s="2" t="s">
        <v>105</v>
      </c>
      <c r="H3" s="2" t="s">
        <v>113</v>
      </c>
      <c r="I3" s="2"/>
    </row>
    <row r="4" ht="39.75" customHeight="1" spans="1:9">
      <c r="A4" s="3" t="s">
        <v>257</v>
      </c>
      <c r="B4" s="2" t="s">
        <v>258</v>
      </c>
      <c r="C4" s="2" t="s">
        <v>259</v>
      </c>
      <c r="D4" s="3" t="s">
        <v>260</v>
      </c>
      <c r="E4" s="2" t="s">
        <v>251</v>
      </c>
      <c r="F4" s="2" t="s">
        <v>261</v>
      </c>
      <c r="G4" s="2" t="s">
        <v>94</v>
      </c>
      <c r="H4" s="2" t="s">
        <v>113</v>
      </c>
      <c r="I4" s="2"/>
    </row>
    <row r="5" ht="39.75" customHeight="1" spans="1:9">
      <c r="A5" s="3" t="s">
        <v>262</v>
      </c>
      <c r="B5" s="2" t="s">
        <v>263</v>
      </c>
      <c r="C5" s="2" t="s">
        <v>264</v>
      </c>
      <c r="D5" s="2" t="s">
        <v>265</v>
      </c>
      <c r="E5" s="2" t="s">
        <v>266</v>
      </c>
      <c r="F5" s="2" t="s">
        <v>267</v>
      </c>
      <c r="G5" s="2" t="s">
        <v>104</v>
      </c>
      <c r="H5" s="2" t="s">
        <v>113</v>
      </c>
      <c r="I5" s="2"/>
    </row>
    <row r="6" ht="39.75" customHeight="1" spans="1:9">
      <c r="A6" s="3" t="s">
        <v>268</v>
      </c>
      <c r="B6" s="2" t="s">
        <v>269</v>
      </c>
      <c r="C6" s="2" t="s">
        <v>270</v>
      </c>
      <c r="D6" s="2" t="s">
        <v>271</v>
      </c>
      <c r="E6" s="2" t="s">
        <v>251</v>
      </c>
      <c r="F6" s="3" t="s">
        <v>272</v>
      </c>
      <c r="G6" s="2" t="s">
        <v>94</v>
      </c>
      <c r="H6" s="2" t="s">
        <v>113</v>
      </c>
      <c r="I6" s="2"/>
    </row>
  </sheetData>
  <dataValidations count="1">
    <dataValidation type="list" allowBlank="1" sqref="H2:H6">
      <formula1>"未开始,处理中,已解决,已接受"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pane ySplit="1" topLeftCell="A2" activePane="bottomLeft" state="frozen"/>
      <selection/>
      <selection pane="bottomLeft" activeCell="B13" sqref="B13"/>
    </sheetView>
  </sheetViews>
  <sheetFormatPr defaultColWidth="8.66666666666667" defaultRowHeight="14.55" outlineLevelCol="7"/>
  <cols>
    <col min="1" max="1" width="8" customWidth="1"/>
    <col min="2" max="2" width="26" customWidth="1"/>
    <col min="3" max="3" width="14" customWidth="1"/>
    <col min="4" max="4" width="49.027027027027" customWidth="1"/>
    <col min="5" max="5" width="10" customWidth="1"/>
    <col min="6" max="6" width="14" customWidth="1"/>
    <col min="7" max="7" width="40.6846846846847" customWidth="1"/>
    <col min="8" max="8" width="68.8018018018018" customWidth="1"/>
  </cols>
  <sheetData>
    <row r="1" ht="24" customHeight="1" spans="1:8">
      <c r="A1" s="1" t="s">
        <v>241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90</v>
      </c>
    </row>
    <row r="2" ht="18" customHeight="1" spans="1:8">
      <c r="A2" s="2">
        <v>1</v>
      </c>
      <c r="B2" s="2" t="s">
        <v>279</v>
      </c>
      <c r="C2" s="2" t="s">
        <v>280</v>
      </c>
      <c r="D2" s="2" t="s">
        <v>281</v>
      </c>
      <c r="E2" s="2">
        <v>5300</v>
      </c>
      <c r="F2" s="3" t="s">
        <v>282</v>
      </c>
      <c r="G2" s="3" t="s">
        <v>283</v>
      </c>
      <c r="H2" s="2" t="s">
        <v>284</v>
      </c>
    </row>
    <row r="3" ht="18" customHeight="1" spans="1:8">
      <c r="A3" s="2">
        <v>2</v>
      </c>
      <c r="B3" s="2" t="s">
        <v>285</v>
      </c>
      <c r="C3" s="2" t="s">
        <v>285</v>
      </c>
      <c r="D3" s="2" t="s">
        <v>286</v>
      </c>
      <c r="E3" s="2">
        <v>4900</v>
      </c>
      <c r="F3" s="3" t="s">
        <v>282</v>
      </c>
      <c r="G3" s="3" t="s">
        <v>283</v>
      </c>
      <c r="H3" s="2" t="s">
        <v>287</v>
      </c>
    </row>
    <row r="4" ht="18" customHeight="1" spans="1:8">
      <c r="A4" s="2">
        <v>3</v>
      </c>
      <c r="B4" s="2" t="s">
        <v>288</v>
      </c>
      <c r="C4" s="2" t="s">
        <v>289</v>
      </c>
      <c r="D4" s="2" t="s">
        <v>290</v>
      </c>
      <c r="E4" s="2">
        <v>14400</v>
      </c>
      <c r="F4" s="3" t="s">
        <v>282</v>
      </c>
      <c r="G4" s="3" t="s">
        <v>283</v>
      </c>
      <c r="H4" s="2" t="s">
        <v>291</v>
      </c>
    </row>
    <row r="5" ht="18" customHeight="1" spans="1:8">
      <c r="A5" s="2">
        <v>4</v>
      </c>
      <c r="B5" s="2" t="s">
        <v>292</v>
      </c>
      <c r="C5" s="2" t="s">
        <v>293</v>
      </c>
      <c r="D5" s="2" t="s">
        <v>294</v>
      </c>
      <c r="E5" s="2">
        <v>23600</v>
      </c>
      <c r="F5" s="3" t="s">
        <v>282</v>
      </c>
      <c r="G5" s="3" t="s">
        <v>283</v>
      </c>
      <c r="H5" s="2" t="s">
        <v>295</v>
      </c>
    </row>
    <row r="6" ht="18" customHeight="1" spans="1:8">
      <c r="A6" s="2">
        <v>5</v>
      </c>
      <c r="B6" s="2" t="s">
        <v>296</v>
      </c>
      <c r="C6" s="2" t="s">
        <v>297</v>
      </c>
      <c r="D6" s="2" t="s">
        <v>298</v>
      </c>
      <c r="E6" s="2">
        <v>3400</v>
      </c>
      <c r="F6" s="3" t="s">
        <v>282</v>
      </c>
      <c r="G6" s="3" t="s">
        <v>283</v>
      </c>
      <c r="H6" s="2" t="s">
        <v>299</v>
      </c>
    </row>
    <row r="7" ht="18" customHeight="1" spans="1:8">
      <c r="A7" s="2">
        <v>6</v>
      </c>
      <c r="B7" s="2" t="s">
        <v>300</v>
      </c>
      <c r="C7" s="2" t="s">
        <v>301</v>
      </c>
      <c r="D7" s="2" t="s">
        <v>302</v>
      </c>
      <c r="E7" s="2">
        <v>4000</v>
      </c>
      <c r="F7" s="3" t="s">
        <v>282</v>
      </c>
      <c r="G7" s="3" t="s">
        <v>283</v>
      </c>
      <c r="H7" s="2" t="s">
        <v>303</v>
      </c>
    </row>
    <row r="8" ht="18" customHeight="1" spans="1:8">
      <c r="A8" s="2">
        <v>7</v>
      </c>
      <c r="B8" s="2" t="s">
        <v>304</v>
      </c>
      <c r="C8" s="2" t="s">
        <v>305</v>
      </c>
      <c r="D8" s="2" t="s">
        <v>306</v>
      </c>
      <c r="E8" s="2">
        <v>4700</v>
      </c>
      <c r="F8" s="3" t="s">
        <v>282</v>
      </c>
      <c r="G8" s="3" t="s">
        <v>283</v>
      </c>
      <c r="H8" s="2" t="s">
        <v>307</v>
      </c>
    </row>
    <row r="9" ht="18" customHeight="1" spans="1:8">
      <c r="A9" s="2">
        <v>8</v>
      </c>
      <c r="B9" s="2" t="s">
        <v>308</v>
      </c>
      <c r="C9" s="2" t="s">
        <v>309</v>
      </c>
      <c r="D9" s="2" t="s">
        <v>310</v>
      </c>
      <c r="E9" s="2">
        <v>4400</v>
      </c>
      <c r="F9" s="3" t="s">
        <v>282</v>
      </c>
      <c r="G9" s="3" t="s">
        <v>283</v>
      </c>
      <c r="H9" s="2" t="s">
        <v>311</v>
      </c>
    </row>
    <row r="10" ht="18" customHeight="1" spans="1:8">
      <c r="A10" s="2"/>
      <c r="B10" s="2"/>
      <c r="C10" s="2"/>
      <c r="D10" s="2"/>
      <c r="E10" s="2"/>
      <c r="F10" s="3"/>
      <c r="G10" s="3"/>
      <c r="H10" s="2"/>
    </row>
    <row r="11" ht="18" customHeight="1" spans="1:8">
      <c r="A11" s="2"/>
      <c r="B11" s="2"/>
      <c r="C11" s="2"/>
      <c r="D11" s="2"/>
      <c r="E11" s="2"/>
      <c r="F11" s="3"/>
      <c r="G11" s="3"/>
      <c r="H11" s="2"/>
    </row>
  </sheetData>
  <dataValidations count="2">
    <dataValidation type="list" allowBlank="1" sqref="F2:F11">
      <formula1>"是,否"</formula1>
    </dataValidation>
    <dataValidation type="list" allowBlank="1" sqref="G2:G11">
      <formula1>"未标注,标注中,已完成"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项目概览</vt:lpstr>
      <vt:lpstr>系统架构设计</vt:lpstr>
      <vt:lpstr>任务跟踪表</vt:lpstr>
      <vt:lpstr>验收标准</vt:lpstr>
      <vt:lpstr>风险与问题跟踪</vt:lpstr>
      <vt:lpstr>测试数据集清单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周宇晨</cp:lastModifiedBy>
  <cp:revision>0</cp:revision>
  <dcterms:created xsi:type="dcterms:W3CDTF">2026-07-02T06:46:00Z</dcterms:created>
  <dcterms:modified xsi:type="dcterms:W3CDTF">2026-07-18T08:30:08Z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DAFEFC986A8B44218D63E2AA7A55BCA7_12</vt:lpwstr>
  </property>
  <property fmtid="{D5CDD505-2E9C-101B-9397-08002B2CF9AE}" pid="3" name="KSOProductBuildVer">
    <vt:lpwstr>2052-12.1.0.21915</vt:lpwstr>
  </property>
</Properties>
</file>